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louisodette/Documents/R_projects/osb_2025_site/labs/data/"/>
    </mc:Choice>
  </mc:AlternateContent>
  <xr:revisionPtr revIDLastSave="0" documentId="13_ncr:1_{E22EA54C-3AFE-6742-BC13-E069B5827B87}" xr6:coauthVersionLast="36" xr6:coauthVersionMax="36" xr10:uidLastSave="{00000000-0000-0000-0000-000000000000}"/>
  <bookViews>
    <workbookView xWindow="600" yWindow="1540" windowWidth="34560" windowHeight="20800" xr2:uid="{00000000-000D-0000-FFFF-FFFF00000000}"/>
  </bookViews>
  <sheets>
    <sheet name="Potential outcomes" sheetId="1" r:id="rId1"/>
  </sheets>
  <calcPr calcId="181029"/>
</workbook>
</file>

<file path=xl/calcChain.xml><?xml version="1.0" encoding="utf-8"?>
<calcChain xmlns="http://schemas.openxmlformats.org/spreadsheetml/2006/main">
  <c r="R18" i="1" l="1"/>
  <c r="R19" i="1"/>
  <c r="R15" i="1"/>
  <c r="R14" i="1"/>
  <c r="R16" i="1"/>
  <c r="R17" i="1" s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S3" i="1"/>
  <c r="R3" i="1"/>
  <c r="R13" i="1" s="1"/>
  <c r="E19" i="1"/>
  <c r="E20" i="1" s="1"/>
  <c r="E18" i="1"/>
  <c r="E14" i="1"/>
  <c r="E15" i="1"/>
  <c r="E13" i="1"/>
  <c r="R20" i="1" l="1"/>
  <c r="E16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E17" i="1" l="1"/>
</calcChain>
</file>

<file path=xl/sharedStrings.xml><?xml version="1.0" encoding="utf-8"?>
<sst xmlns="http://schemas.openxmlformats.org/spreadsheetml/2006/main" count="102" uniqueCount="52">
  <si>
    <t>Person</t>
  </si>
  <si>
    <t>Y(1)</t>
  </si>
  <si>
    <t>Y(0)</t>
  </si>
  <si>
    <t>Delta Y(1)-Y(0)</t>
  </si>
  <si>
    <t>Y (Data)</t>
  </si>
  <si>
    <t>D (Treatment)</t>
  </si>
  <si>
    <t>Instructions</t>
  </si>
  <si>
    <t>Selina</t>
  </si>
  <si>
    <t>1. Calculate the individual treatment effects</t>
  </si>
  <si>
    <t>Tim</t>
  </si>
  <si>
    <t>2. Calculate the ATE</t>
  </si>
  <si>
    <t>Chad</t>
  </si>
  <si>
    <t>3. Assign males to treatment, females to control</t>
  </si>
  <si>
    <t>Derrick</t>
  </si>
  <si>
    <t>4. Use the switching equation and replace Y with Y1 or Y0 (columne E)</t>
  </si>
  <si>
    <t>Edith</t>
  </si>
  <si>
    <t>5. Calculate:</t>
  </si>
  <si>
    <t>Frank</t>
  </si>
  <si>
    <t>ATE</t>
  </si>
  <si>
    <t>George</t>
  </si>
  <si>
    <t>ATT</t>
  </si>
  <si>
    <t>Hannah</t>
  </si>
  <si>
    <t>ATU</t>
  </si>
  <si>
    <t>Ida</t>
  </si>
  <si>
    <t>6. Pick people with positive (zero or negative) treatment effects for treated (control)</t>
  </si>
  <si>
    <t>Janice</t>
  </si>
  <si>
    <t>7. Why did the ATE not change, but the ATT and ATU change?</t>
  </si>
  <si>
    <t>Percent D=1</t>
  </si>
  <si>
    <t>Percent D=0</t>
  </si>
  <si>
    <t>E[Y(1)|D=1]</t>
  </si>
  <si>
    <t>A causal effect has three ingredients</t>
  </si>
  <si>
    <t>E[Y(0)|D=1]</t>
  </si>
  <si>
    <t>1. individual treatment effects expressed with potential outcomes</t>
  </si>
  <si>
    <t>2. those individual treatment effects are based on WEIGHTED AVERAGES</t>
  </si>
  <si>
    <t>3. you're weighting over a POPULATION OF UNITS</t>
  </si>
  <si>
    <r>
      <rPr>
        <sz val="10"/>
        <color theme="1"/>
        <rFont val="Arial"/>
        <family val="2"/>
      </rPr>
      <t xml:space="preserve">Vaccine is the treatment. And your </t>
    </r>
    <r>
      <rPr>
        <b/>
        <sz val="10"/>
        <color theme="1"/>
        <rFont val="Arial"/>
        <family val="2"/>
      </rPr>
      <t>research question</t>
    </r>
    <r>
      <rPr>
        <sz val="10"/>
        <color theme="1"/>
        <rFont val="Arial"/>
        <family val="2"/>
      </rPr>
      <t xml:space="preserve"> is "what's the effect of the vaccine on mortality?"</t>
    </r>
  </si>
  <si>
    <t>The causal question can be three things:</t>
  </si>
  <si>
    <r>
      <rPr>
        <sz val="10"/>
        <color theme="1"/>
        <rFont val="Arial"/>
        <family val="2"/>
      </rPr>
      <t xml:space="preserve">1. what the average effect of vaccines on mortality </t>
    </r>
    <r>
      <rPr>
        <b/>
        <sz val="10"/>
        <color theme="1"/>
        <rFont val="Arial"/>
        <family val="2"/>
      </rPr>
      <t>for everyone</t>
    </r>
    <r>
      <rPr>
        <sz val="10"/>
        <color theme="1"/>
        <rFont val="Arial"/>
        <family val="2"/>
      </rPr>
      <t>? That's the ATE</t>
    </r>
  </si>
  <si>
    <t>2. what's the average effect of vaccines on mortality for vaccinated people? That's the ATT</t>
  </si>
  <si>
    <t>3. What's the average effect of vaccines on mortality for the unvaccinated? The's the ATU</t>
  </si>
  <si>
    <r>
      <rPr>
        <sz val="10"/>
        <color theme="1"/>
        <rFont val="Arial"/>
        <family val="2"/>
      </rPr>
      <t xml:space="preserve">Which of those three average causal parameters </t>
    </r>
    <r>
      <rPr>
        <i/>
        <sz val="10"/>
        <color theme="1"/>
        <rFont val="Arial"/>
        <family val="2"/>
      </rPr>
      <t>should</t>
    </r>
    <r>
      <rPr>
        <sz val="10"/>
        <color theme="1"/>
        <rFont val="Arial"/>
        <family val="2"/>
      </rPr>
      <t xml:space="preserve"> you be trying to estimate? </t>
    </r>
  </si>
  <si>
    <t xml:space="preserve">It depends. </t>
  </si>
  <si>
    <r>
      <rPr>
        <sz val="10"/>
        <color theme="1"/>
        <rFont val="Arial"/>
        <family val="2"/>
      </rPr>
      <t xml:space="preserve">- It depends on which one you </t>
    </r>
    <r>
      <rPr>
        <i/>
        <sz val="10"/>
        <color theme="1"/>
        <rFont val="Arial"/>
        <family val="2"/>
      </rPr>
      <t>personally</t>
    </r>
    <r>
      <rPr>
        <sz val="10"/>
        <color theme="1"/>
        <rFont val="Arial"/>
        <family val="2"/>
      </rPr>
      <t xml:space="preserve"> think is interesting</t>
    </r>
  </si>
  <si>
    <r>
      <rPr>
        <sz val="10"/>
        <color theme="1"/>
        <rFont val="Arial"/>
        <family val="2"/>
      </rPr>
      <t xml:space="preserve">- It depends on the </t>
    </r>
    <r>
      <rPr>
        <i/>
        <sz val="10"/>
        <color theme="1"/>
        <rFont val="Arial"/>
        <family val="2"/>
      </rPr>
      <t>policy goal</t>
    </r>
    <r>
      <rPr>
        <sz val="10"/>
        <color theme="1"/>
        <rFont val="Arial"/>
        <family val="2"/>
      </rPr>
      <t xml:space="preserve">. Is the goal to vaccinate </t>
    </r>
    <r>
      <rPr>
        <i/>
        <sz val="10"/>
        <color theme="1"/>
        <rFont val="Arial"/>
        <family val="2"/>
      </rPr>
      <t>everyone</t>
    </r>
    <r>
      <rPr>
        <sz val="10"/>
        <color theme="1"/>
        <rFont val="Arial"/>
        <family val="2"/>
      </rPr>
      <t xml:space="preserve">? </t>
    </r>
  </si>
  <si>
    <t>That is the ATE</t>
  </si>
  <si>
    <t>- Is the goal though to understand if the vaccine helped the vaccinated?</t>
  </si>
  <si>
    <t>That is the ATT</t>
  </si>
  <si>
    <t>Gender</t>
  </si>
  <si>
    <t>F</t>
  </si>
  <si>
    <t>M</t>
  </si>
  <si>
    <t>Assign males to treatment, females to control</t>
  </si>
  <si>
    <t xml:space="preserve">Pick people with positive (&gt;= 0) treatment effects for treated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</si>
</sst>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2"/>
      <color rgb="FF000000"/>
      <name val="Calibri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2"/>
      <color rgb="FF000000"/>
      <name val="Calibri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theme="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theme="1"/>
        <bgColor theme="1"/>
      </patternFill>
    </fill>
    <fill>
      <patternFill patternType="solid">
        <fgColor rgb="FF93C47D"/>
        <bgColor rgb="FF93C47D"/>
      </patternFill>
    </fill>
    <fill>
      <patternFill patternType="solid">
        <fgColor rgb="FFD5A6BD"/>
        <bgColor rgb="FFD5A6BD"/>
      </patternFill>
    </fill>
    <fill>
      <patternFill patternType="solid">
        <fgColor rgb="FFE69138"/>
        <bgColor rgb="FFE69138"/>
      </patternFill>
    </fill>
    <fill>
      <patternFill patternType="solid">
        <fgColor rgb="FFFF0000"/>
        <bgColor rgb="FFFF0000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0" fontId="1" fillId="4" borderId="2" xfId="0" applyFont="1" applyFill="1" applyBorder="1" applyAlignment="1">
      <alignment horizontal="center" vertical="top"/>
    </xf>
    <xf numFmtId="0" fontId="2" fillId="5" borderId="0" xfId="0" applyFont="1" applyFill="1"/>
    <xf numFmtId="0" fontId="3" fillId="0" borderId="0" xfId="0" applyFont="1" applyAlignment="1"/>
    <xf numFmtId="0" fontId="4" fillId="0" borderId="3" xfId="0" applyFont="1" applyBorder="1" applyAlignment="1">
      <alignment vertical="top"/>
    </xf>
    <xf numFmtId="0" fontId="4" fillId="0" borderId="4" xfId="0" applyFont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top"/>
    </xf>
    <xf numFmtId="0" fontId="5" fillId="3" borderId="4" xfId="0" applyFont="1" applyFill="1" applyBorder="1" applyAlignment="1">
      <alignment horizontal="center" vertical="top"/>
    </xf>
    <xf numFmtId="0" fontId="6" fillId="4" borderId="1" xfId="0" applyFont="1" applyFill="1" applyBorder="1" applyAlignment="1">
      <alignment horizontal="center" vertical="top"/>
    </xf>
    <xf numFmtId="0" fontId="2" fillId="0" borderId="1" xfId="0" applyFont="1" applyBorder="1" applyAlignment="1"/>
    <xf numFmtId="0" fontId="2" fillId="0" borderId="1" xfId="0" applyFont="1" applyBorder="1"/>
    <xf numFmtId="0" fontId="2" fillId="0" borderId="0" xfId="0" applyFont="1" applyAlignment="1"/>
    <xf numFmtId="0" fontId="3" fillId="2" borderId="1" xfId="0" applyFont="1" applyFill="1" applyBorder="1" applyAlignment="1"/>
    <xf numFmtId="0" fontId="3" fillId="2" borderId="1" xfId="0" applyFont="1" applyFill="1" applyBorder="1"/>
    <xf numFmtId="0" fontId="3" fillId="0" borderId="0" xfId="0" applyFont="1"/>
    <xf numFmtId="0" fontId="2" fillId="0" borderId="0" xfId="0" applyFont="1"/>
    <xf numFmtId="0" fontId="3" fillId="6" borderId="1" xfId="0" applyFont="1" applyFill="1" applyBorder="1" applyAlignment="1"/>
    <xf numFmtId="0" fontId="3" fillId="7" borderId="1" xfId="0" applyFont="1" applyFill="1" applyBorder="1" applyAlignment="1"/>
    <xf numFmtId="0" fontId="2" fillId="8" borderId="1" xfId="0" applyFont="1" applyFill="1" applyBorder="1" applyAlignment="1"/>
    <xf numFmtId="0" fontId="2" fillId="9" borderId="1" xfId="0" applyFont="1" applyFill="1" applyBorder="1" applyAlignment="1"/>
    <xf numFmtId="0" fontId="2" fillId="0" borderId="0" xfId="0" applyFont="1" applyFill="1" applyAlignment="1"/>
    <xf numFmtId="0" fontId="2" fillId="0" borderId="0" xfId="0" applyFont="1" applyFill="1"/>
    <xf numFmtId="0" fontId="1" fillId="0" borderId="2" xfId="0" applyFont="1" applyBorder="1" applyAlignment="1">
      <alignment vertical="top"/>
    </xf>
    <xf numFmtId="0" fontId="4" fillId="0" borderId="4" xfId="0" applyFont="1" applyBorder="1" applyAlignment="1">
      <alignment vertical="top"/>
    </xf>
    <xf numFmtId="0" fontId="9" fillId="10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56"/>
  <sheetViews>
    <sheetView tabSelected="1" zoomScale="140" zoomScaleNormal="140" workbookViewId="0">
      <selection activeCell="R14" sqref="R14"/>
    </sheetView>
  </sheetViews>
  <sheetFormatPr baseColWidth="10" defaultColWidth="12.6640625" defaultRowHeight="15.75" customHeight="1" x14ac:dyDescent="0.15"/>
  <cols>
    <col min="2" max="2" width="7.1640625" customWidth="1"/>
    <col min="3" max="4" width="11.83203125" customWidth="1"/>
    <col min="5" max="5" width="14.5" customWidth="1"/>
    <col min="8" max="8" width="2.33203125" customWidth="1"/>
    <col min="12" max="12" width="36.5" customWidth="1"/>
    <col min="13" max="13" width="2.33203125" customWidth="1"/>
  </cols>
  <sheetData>
    <row r="1" spans="1:20" ht="15.75" customHeight="1" x14ac:dyDescent="0.15">
      <c r="A1" s="28" t="s">
        <v>50</v>
      </c>
      <c r="B1" s="28"/>
      <c r="C1" s="28"/>
      <c r="D1" s="28"/>
      <c r="E1" s="28"/>
      <c r="F1" s="28"/>
      <c r="G1" s="28"/>
      <c r="N1" s="28" t="s">
        <v>51</v>
      </c>
      <c r="O1" s="28"/>
      <c r="P1" s="28"/>
      <c r="Q1" s="28"/>
      <c r="R1" s="28"/>
      <c r="S1" s="28"/>
      <c r="T1" s="28"/>
    </row>
    <row r="2" spans="1:20" ht="15.75" customHeight="1" x14ac:dyDescent="0.15">
      <c r="A2" s="1" t="s">
        <v>0</v>
      </c>
      <c r="B2" s="26" t="s">
        <v>47</v>
      </c>
      <c r="C2" s="2" t="s">
        <v>1</v>
      </c>
      <c r="D2" s="2" t="s">
        <v>2</v>
      </c>
      <c r="E2" s="3" t="s">
        <v>3</v>
      </c>
      <c r="F2" s="4" t="s">
        <v>4</v>
      </c>
      <c r="G2" s="5" t="s">
        <v>5</v>
      </c>
      <c r="H2" s="6"/>
      <c r="I2" s="7" t="s">
        <v>6</v>
      </c>
      <c r="M2" s="6"/>
      <c r="N2" s="1" t="s">
        <v>0</v>
      </c>
      <c r="O2" s="26" t="s">
        <v>47</v>
      </c>
      <c r="P2" s="2" t="s">
        <v>1</v>
      </c>
      <c r="Q2" s="2" t="s">
        <v>2</v>
      </c>
      <c r="R2" s="3" t="s">
        <v>3</v>
      </c>
      <c r="S2" s="4" t="s">
        <v>4</v>
      </c>
      <c r="T2" s="5" t="s">
        <v>5</v>
      </c>
    </row>
    <row r="3" spans="1:20" ht="15.75" customHeight="1" x14ac:dyDescent="0.15">
      <c r="A3" s="8" t="s">
        <v>7</v>
      </c>
      <c r="B3" s="27" t="s">
        <v>48</v>
      </c>
      <c r="C3" s="9">
        <v>15</v>
      </c>
      <c r="D3" s="9">
        <v>12</v>
      </c>
      <c r="E3" s="10">
        <f t="shared" ref="E3:E12" si="0">C3-D3</f>
        <v>3</v>
      </c>
      <c r="F3" s="11">
        <f t="shared" ref="F3:F12" si="1">G3*C3+(1-G3)*D3</f>
        <v>12</v>
      </c>
      <c r="G3" s="12">
        <v>0</v>
      </c>
      <c r="H3" s="6"/>
      <c r="I3" s="13" t="s">
        <v>8</v>
      </c>
      <c r="J3" s="14"/>
      <c r="K3" s="14"/>
      <c r="M3" s="6"/>
      <c r="N3" s="8" t="s">
        <v>7</v>
      </c>
      <c r="O3" s="27" t="s">
        <v>48</v>
      </c>
      <c r="P3" s="9">
        <v>15</v>
      </c>
      <c r="Q3" s="9">
        <v>12</v>
      </c>
      <c r="R3" s="10">
        <f t="shared" ref="R3:R12" si="2">P3-Q3</f>
        <v>3</v>
      </c>
      <c r="S3" s="11">
        <f t="shared" ref="S3:S12" si="3">T3*P3+(1-T3)*Q3</f>
        <v>15</v>
      </c>
      <c r="T3" s="12">
        <v>1</v>
      </c>
    </row>
    <row r="4" spans="1:20" ht="15.75" customHeight="1" x14ac:dyDescent="0.15">
      <c r="A4" s="8" t="s">
        <v>9</v>
      </c>
      <c r="B4" s="27" t="s">
        <v>49</v>
      </c>
      <c r="C4" s="9">
        <v>5</v>
      </c>
      <c r="D4" s="9">
        <v>10</v>
      </c>
      <c r="E4" s="10">
        <f t="shared" si="0"/>
        <v>-5</v>
      </c>
      <c r="F4" s="11">
        <f t="shared" si="1"/>
        <v>5</v>
      </c>
      <c r="G4" s="12">
        <v>1</v>
      </c>
      <c r="H4" s="6"/>
      <c r="I4" s="13" t="s">
        <v>10</v>
      </c>
      <c r="J4" s="14"/>
      <c r="M4" s="6"/>
      <c r="N4" s="8" t="s">
        <v>9</v>
      </c>
      <c r="O4" s="27" t="s">
        <v>49</v>
      </c>
      <c r="P4" s="9">
        <v>5</v>
      </c>
      <c r="Q4" s="9">
        <v>10</v>
      </c>
      <c r="R4" s="10">
        <f t="shared" si="2"/>
        <v>-5</v>
      </c>
      <c r="S4" s="11">
        <f t="shared" si="3"/>
        <v>10</v>
      </c>
      <c r="T4" s="12">
        <v>0</v>
      </c>
    </row>
    <row r="5" spans="1:20" ht="15.75" customHeight="1" x14ac:dyDescent="0.15">
      <c r="A5" s="8" t="s">
        <v>11</v>
      </c>
      <c r="B5" s="27" t="s">
        <v>49</v>
      </c>
      <c r="C5" s="9">
        <v>17</v>
      </c>
      <c r="D5" s="9">
        <v>11</v>
      </c>
      <c r="E5" s="10">
        <f t="shared" si="0"/>
        <v>6</v>
      </c>
      <c r="F5" s="11">
        <f t="shared" si="1"/>
        <v>17</v>
      </c>
      <c r="G5" s="12">
        <v>1</v>
      </c>
      <c r="H5" s="6"/>
      <c r="I5" s="13" t="s">
        <v>12</v>
      </c>
      <c r="J5" s="14"/>
      <c r="K5" s="14"/>
      <c r="L5" s="14"/>
      <c r="M5" s="6"/>
      <c r="N5" s="8" t="s">
        <v>11</v>
      </c>
      <c r="O5" s="27" t="s">
        <v>49</v>
      </c>
      <c r="P5" s="9">
        <v>17</v>
      </c>
      <c r="Q5" s="9">
        <v>11</v>
      </c>
      <c r="R5" s="10">
        <f t="shared" si="2"/>
        <v>6</v>
      </c>
      <c r="S5" s="11">
        <f t="shared" si="3"/>
        <v>17</v>
      </c>
      <c r="T5" s="12">
        <v>1</v>
      </c>
    </row>
    <row r="6" spans="1:20" ht="15.75" customHeight="1" x14ac:dyDescent="0.15">
      <c r="A6" s="8" t="s">
        <v>13</v>
      </c>
      <c r="B6" s="27" t="s">
        <v>49</v>
      </c>
      <c r="C6" s="9">
        <v>10</v>
      </c>
      <c r="D6" s="9">
        <v>9</v>
      </c>
      <c r="E6" s="10">
        <f t="shared" si="0"/>
        <v>1</v>
      </c>
      <c r="F6" s="11">
        <f t="shared" si="1"/>
        <v>10</v>
      </c>
      <c r="G6" s="12">
        <v>1</v>
      </c>
      <c r="H6" s="6"/>
      <c r="I6" s="15" t="s">
        <v>14</v>
      </c>
      <c r="M6" s="6"/>
      <c r="N6" s="8" t="s">
        <v>13</v>
      </c>
      <c r="O6" s="27" t="s">
        <v>49</v>
      </c>
      <c r="P6" s="9">
        <v>10</v>
      </c>
      <c r="Q6" s="9">
        <v>9</v>
      </c>
      <c r="R6" s="10">
        <f t="shared" si="2"/>
        <v>1</v>
      </c>
      <c r="S6" s="11">
        <f t="shared" si="3"/>
        <v>10</v>
      </c>
      <c r="T6" s="12">
        <v>1</v>
      </c>
    </row>
    <row r="7" spans="1:20" ht="15.75" customHeight="1" x14ac:dyDescent="0.15">
      <c r="A7" s="8" t="s">
        <v>15</v>
      </c>
      <c r="B7" s="27" t="s">
        <v>48</v>
      </c>
      <c r="C7" s="9">
        <v>9</v>
      </c>
      <c r="D7" s="9">
        <v>9</v>
      </c>
      <c r="E7" s="10">
        <f t="shared" si="0"/>
        <v>0</v>
      </c>
      <c r="F7" s="11">
        <f t="shared" si="1"/>
        <v>9</v>
      </c>
      <c r="G7" s="12">
        <v>0</v>
      </c>
      <c r="H7" s="6"/>
      <c r="I7" s="15" t="s">
        <v>16</v>
      </c>
      <c r="M7" s="6"/>
      <c r="N7" s="8" t="s">
        <v>15</v>
      </c>
      <c r="O7" s="27" t="s">
        <v>48</v>
      </c>
      <c r="P7" s="9">
        <v>9</v>
      </c>
      <c r="Q7" s="9">
        <v>9</v>
      </c>
      <c r="R7" s="10">
        <f t="shared" si="2"/>
        <v>0</v>
      </c>
      <c r="S7" s="11">
        <f t="shared" si="3"/>
        <v>9</v>
      </c>
      <c r="T7" s="12">
        <v>0</v>
      </c>
    </row>
    <row r="8" spans="1:20" ht="15.75" customHeight="1" x14ac:dyDescent="0.15">
      <c r="A8" s="8" t="s">
        <v>17</v>
      </c>
      <c r="B8" s="27" t="s">
        <v>49</v>
      </c>
      <c r="C8" s="9">
        <v>1</v>
      </c>
      <c r="D8" s="9">
        <v>5</v>
      </c>
      <c r="E8" s="10">
        <f t="shared" si="0"/>
        <v>-4</v>
      </c>
      <c r="F8" s="11">
        <f t="shared" si="1"/>
        <v>1</v>
      </c>
      <c r="G8" s="12">
        <v>1</v>
      </c>
      <c r="H8" s="6"/>
      <c r="J8" s="16" t="s">
        <v>18</v>
      </c>
      <c r="K8" s="17"/>
      <c r="L8" s="15"/>
      <c r="M8" s="6"/>
      <c r="N8" s="8" t="s">
        <v>17</v>
      </c>
      <c r="O8" s="27" t="s">
        <v>49</v>
      </c>
      <c r="P8" s="9">
        <v>1</v>
      </c>
      <c r="Q8" s="9">
        <v>5</v>
      </c>
      <c r="R8" s="10">
        <f t="shared" si="2"/>
        <v>-4</v>
      </c>
      <c r="S8" s="11">
        <f t="shared" si="3"/>
        <v>5</v>
      </c>
      <c r="T8" s="12">
        <v>0</v>
      </c>
    </row>
    <row r="9" spans="1:20" ht="15.75" customHeight="1" x14ac:dyDescent="0.15">
      <c r="A9" s="8" t="s">
        <v>19</v>
      </c>
      <c r="B9" s="27" t="s">
        <v>49</v>
      </c>
      <c r="C9" s="9">
        <v>13</v>
      </c>
      <c r="D9" s="9">
        <v>9</v>
      </c>
      <c r="E9" s="10">
        <f t="shared" si="0"/>
        <v>4</v>
      </c>
      <c r="F9" s="11">
        <f t="shared" si="1"/>
        <v>13</v>
      </c>
      <c r="G9" s="12">
        <v>1</v>
      </c>
      <c r="H9" s="6"/>
      <c r="J9" s="7" t="s">
        <v>20</v>
      </c>
      <c r="K9" s="18"/>
      <c r="L9" s="15"/>
      <c r="M9" s="6"/>
      <c r="N9" s="8" t="s">
        <v>19</v>
      </c>
      <c r="O9" s="27" t="s">
        <v>49</v>
      </c>
      <c r="P9" s="9">
        <v>13</v>
      </c>
      <c r="Q9" s="9">
        <v>9</v>
      </c>
      <c r="R9" s="10">
        <f t="shared" si="2"/>
        <v>4</v>
      </c>
      <c r="S9" s="11">
        <f t="shared" si="3"/>
        <v>13</v>
      </c>
      <c r="T9" s="12">
        <v>1</v>
      </c>
    </row>
    <row r="10" spans="1:20" ht="15.75" customHeight="1" x14ac:dyDescent="0.15">
      <c r="A10" s="8" t="s">
        <v>21</v>
      </c>
      <c r="B10" s="27" t="s">
        <v>48</v>
      </c>
      <c r="C10" s="9">
        <v>10</v>
      </c>
      <c r="D10" s="9">
        <v>8</v>
      </c>
      <c r="E10" s="10">
        <f t="shared" si="0"/>
        <v>2</v>
      </c>
      <c r="F10" s="11">
        <f t="shared" si="1"/>
        <v>8</v>
      </c>
      <c r="G10" s="12">
        <v>0</v>
      </c>
      <c r="H10" s="6"/>
      <c r="J10" s="7" t="s">
        <v>22</v>
      </c>
      <c r="L10" s="15"/>
      <c r="M10" s="6"/>
      <c r="N10" s="8" t="s">
        <v>21</v>
      </c>
      <c r="O10" s="27" t="s">
        <v>48</v>
      </c>
      <c r="P10" s="9">
        <v>10</v>
      </c>
      <c r="Q10" s="9">
        <v>8</v>
      </c>
      <c r="R10" s="10">
        <f t="shared" si="2"/>
        <v>2</v>
      </c>
      <c r="S10" s="11">
        <f t="shared" si="3"/>
        <v>10</v>
      </c>
      <c r="T10" s="12">
        <v>1</v>
      </c>
    </row>
    <row r="11" spans="1:20" ht="15.75" customHeight="1" x14ac:dyDescent="0.15">
      <c r="A11" s="8" t="s">
        <v>23</v>
      </c>
      <c r="B11" s="27" t="s">
        <v>48</v>
      </c>
      <c r="C11" s="9">
        <v>9</v>
      </c>
      <c r="D11" s="9">
        <v>12</v>
      </c>
      <c r="E11" s="10">
        <f t="shared" si="0"/>
        <v>-3</v>
      </c>
      <c r="F11" s="11">
        <f t="shared" si="1"/>
        <v>12</v>
      </c>
      <c r="G11" s="12">
        <v>0</v>
      </c>
      <c r="H11" s="6"/>
      <c r="I11" s="15" t="s">
        <v>24</v>
      </c>
      <c r="M11" s="6"/>
      <c r="N11" s="8" t="s">
        <v>23</v>
      </c>
      <c r="O11" s="27" t="s">
        <v>48</v>
      </c>
      <c r="P11" s="9">
        <v>9</v>
      </c>
      <c r="Q11" s="9">
        <v>12</v>
      </c>
      <c r="R11" s="10">
        <f t="shared" si="2"/>
        <v>-3</v>
      </c>
      <c r="S11" s="11">
        <f t="shared" si="3"/>
        <v>12</v>
      </c>
      <c r="T11" s="12">
        <v>0</v>
      </c>
    </row>
    <row r="12" spans="1:20" ht="15.75" customHeight="1" x14ac:dyDescent="0.15">
      <c r="A12" s="8" t="s">
        <v>25</v>
      </c>
      <c r="B12" s="27" t="s">
        <v>48</v>
      </c>
      <c r="C12" s="9">
        <v>8</v>
      </c>
      <c r="D12" s="9">
        <v>15</v>
      </c>
      <c r="E12" s="10">
        <f t="shared" si="0"/>
        <v>-7</v>
      </c>
      <c r="F12" s="11">
        <f t="shared" si="1"/>
        <v>15</v>
      </c>
      <c r="G12" s="12">
        <v>0</v>
      </c>
      <c r="H12" s="6"/>
      <c r="J12" s="16" t="s">
        <v>18</v>
      </c>
      <c r="K12" s="17"/>
      <c r="L12" s="15"/>
      <c r="M12" s="6"/>
      <c r="N12" s="8" t="s">
        <v>25</v>
      </c>
      <c r="O12" s="27" t="s">
        <v>48</v>
      </c>
      <c r="P12" s="9">
        <v>8</v>
      </c>
      <c r="Q12" s="9">
        <v>15</v>
      </c>
      <c r="R12" s="10">
        <f t="shared" si="2"/>
        <v>-7</v>
      </c>
      <c r="S12" s="11">
        <f t="shared" si="3"/>
        <v>15</v>
      </c>
      <c r="T12" s="12">
        <v>0</v>
      </c>
    </row>
    <row r="13" spans="1:20" ht="15.75" customHeight="1" x14ac:dyDescent="0.15">
      <c r="D13" s="16" t="s">
        <v>18</v>
      </c>
      <c r="E13" s="10">
        <f>(SUM(E3:E12)/10)</f>
        <v>-0.3</v>
      </c>
      <c r="F13" s="11"/>
      <c r="H13" s="6"/>
      <c r="J13" s="7" t="s">
        <v>20</v>
      </c>
      <c r="K13" s="18"/>
      <c r="L13" s="15"/>
      <c r="M13" s="6"/>
      <c r="Q13" s="16" t="s">
        <v>18</v>
      </c>
      <c r="R13" s="10">
        <f>(SUM(R3:R12)/10)</f>
        <v>-0.3</v>
      </c>
      <c r="S13" s="11"/>
    </row>
    <row r="14" spans="1:20" ht="15.75" customHeight="1" x14ac:dyDescent="0.15">
      <c r="A14" s="19"/>
      <c r="B14" s="19"/>
      <c r="D14" s="20" t="s">
        <v>20</v>
      </c>
      <c r="E14" s="10">
        <f>(SUM(E9,E8,E6,E5,E4)/5)</f>
        <v>0.4</v>
      </c>
      <c r="F14" s="11"/>
      <c r="H14" s="6"/>
      <c r="J14" s="7" t="s">
        <v>22</v>
      </c>
      <c r="L14" s="15"/>
      <c r="M14" s="6"/>
      <c r="N14" s="19"/>
      <c r="O14" s="19"/>
      <c r="Q14" s="20" t="s">
        <v>20</v>
      </c>
      <c r="R14" s="10">
        <f>(SUM(R10,R9,R5,R6,R3)/5)</f>
        <v>3.2</v>
      </c>
      <c r="S14" s="11"/>
    </row>
    <row r="15" spans="1:20" ht="15.75" customHeight="1" x14ac:dyDescent="0.15">
      <c r="D15" s="21" t="s">
        <v>22</v>
      </c>
      <c r="E15" s="10">
        <f>AVERAGE(E12,E11,E10,E7,E3)</f>
        <v>-1</v>
      </c>
      <c r="F15" s="11"/>
      <c r="H15" s="6"/>
      <c r="I15" s="15" t="s">
        <v>26</v>
      </c>
      <c r="M15" s="6"/>
      <c r="Q15" s="21" t="s">
        <v>22</v>
      </c>
      <c r="R15" s="10">
        <f>AVERAGE(R12,R11,R8,R7,R4)</f>
        <v>-3.8</v>
      </c>
      <c r="S15" s="11"/>
    </row>
    <row r="16" spans="1:20" ht="15.75" customHeight="1" x14ac:dyDescent="0.15">
      <c r="D16" s="22" t="s">
        <v>27</v>
      </c>
      <c r="E16" s="10">
        <f>AVERAGE(G3:G12)</f>
        <v>0.5</v>
      </c>
      <c r="F16" s="11"/>
      <c r="H16" s="6"/>
      <c r="M16" s="6"/>
      <c r="Q16" s="22" t="s">
        <v>27</v>
      </c>
      <c r="R16" s="10">
        <f>AVERAGE(T3:T12)</f>
        <v>0.5</v>
      </c>
      <c r="S16" s="11"/>
    </row>
    <row r="17" spans="1:19" ht="15.75" customHeight="1" x14ac:dyDescent="0.15">
      <c r="D17" s="23" t="s">
        <v>28</v>
      </c>
      <c r="E17" s="10">
        <f>1-E16</f>
        <v>0.5</v>
      </c>
      <c r="F17" s="11"/>
      <c r="Q17" s="23" t="s">
        <v>28</v>
      </c>
      <c r="R17" s="10">
        <f>1-R16</f>
        <v>0.5</v>
      </c>
      <c r="S17" s="11"/>
    </row>
    <row r="18" spans="1:19" ht="15.75" customHeight="1" x14ac:dyDescent="0.15">
      <c r="D18" s="15" t="s">
        <v>29</v>
      </c>
      <c r="E18" s="10">
        <f>SUM(C4,C5,C6,C8,C9)/5</f>
        <v>9.1999999999999993</v>
      </c>
      <c r="F18" s="11"/>
      <c r="I18" s="15" t="s">
        <v>30</v>
      </c>
      <c r="Q18" s="15" t="s">
        <v>29</v>
      </c>
      <c r="R18" s="10">
        <f>SUM(P10,P9,P5,P6,P3)/5</f>
        <v>13</v>
      </c>
      <c r="S18" s="11"/>
    </row>
    <row r="19" spans="1:19" ht="15.75" customHeight="1" x14ac:dyDescent="0.15">
      <c r="D19" s="15" t="s">
        <v>31</v>
      </c>
      <c r="E19" s="10">
        <f>SUM(D4,D5,D6,D8,D9)/5</f>
        <v>8.8000000000000007</v>
      </c>
      <c r="F19" s="11"/>
      <c r="J19" s="15" t="s">
        <v>32</v>
      </c>
      <c r="Q19" s="15" t="s">
        <v>31</v>
      </c>
      <c r="R19" s="10">
        <f>SUM(Q10,Q9,Q5,Q6,Q3)/5</f>
        <v>9.8000000000000007</v>
      </c>
      <c r="S19" s="11"/>
    </row>
    <row r="20" spans="1:19" ht="15.75" customHeight="1" x14ac:dyDescent="0.15">
      <c r="D20" s="15" t="s">
        <v>20</v>
      </c>
      <c r="E20" s="10">
        <f>E18-E19</f>
        <v>0.39999999999999858</v>
      </c>
      <c r="F20" s="11"/>
      <c r="J20" s="15" t="s">
        <v>33</v>
      </c>
      <c r="Q20" s="15" t="s">
        <v>20</v>
      </c>
      <c r="R20" s="10">
        <f>R18-R19</f>
        <v>3.1999999999999993</v>
      </c>
      <c r="S20" s="11"/>
    </row>
    <row r="21" spans="1:19" ht="15.75" customHeight="1" x14ac:dyDescent="0.15">
      <c r="A21" s="24"/>
      <c r="B21" s="24"/>
      <c r="C21" s="25"/>
      <c r="D21" s="25"/>
      <c r="E21" s="19"/>
      <c r="J21" s="15" t="s">
        <v>34</v>
      </c>
    </row>
    <row r="23" spans="1:19" ht="15.75" customHeight="1" x14ac:dyDescent="0.15">
      <c r="A23" s="15"/>
      <c r="B23" s="15"/>
      <c r="I23" s="15"/>
    </row>
    <row r="24" spans="1:19" ht="15.75" customHeight="1" x14ac:dyDescent="0.15">
      <c r="C24" s="15"/>
      <c r="J24" s="15"/>
    </row>
    <row r="25" spans="1:19" ht="15.75" customHeight="1" x14ac:dyDescent="0.15">
      <c r="C25" s="15"/>
    </row>
    <row r="28" spans="1:19" ht="15.75" customHeight="1" x14ac:dyDescent="0.15">
      <c r="A28" s="15" t="s">
        <v>35</v>
      </c>
      <c r="B28" s="15"/>
    </row>
    <row r="29" spans="1:19" ht="15.75" customHeight="1" x14ac:dyDescent="0.15">
      <c r="A29" s="15" t="s">
        <v>36</v>
      </c>
      <c r="B29" s="15"/>
      <c r="J29" s="15"/>
    </row>
    <row r="30" spans="1:19" ht="15.75" customHeight="1" x14ac:dyDescent="0.15">
      <c r="C30" s="15" t="s">
        <v>37</v>
      </c>
      <c r="J30" s="15"/>
    </row>
    <row r="31" spans="1:19" ht="15.75" customHeight="1" x14ac:dyDescent="0.15">
      <c r="C31" s="15" t="s">
        <v>38</v>
      </c>
      <c r="J31" s="15"/>
    </row>
    <row r="32" spans="1:19" ht="15.75" customHeight="1" x14ac:dyDescent="0.15">
      <c r="C32" s="15" t="s">
        <v>39</v>
      </c>
      <c r="J32" s="15"/>
    </row>
    <row r="34" spans="1:5" ht="15.75" customHeight="1" x14ac:dyDescent="0.15">
      <c r="A34" s="15" t="s">
        <v>40</v>
      </c>
      <c r="B34" s="15"/>
    </row>
    <row r="35" spans="1:5" ht="15.75" customHeight="1" x14ac:dyDescent="0.15">
      <c r="C35" s="15" t="s">
        <v>41</v>
      </c>
    </row>
    <row r="36" spans="1:5" ht="15.75" customHeight="1" x14ac:dyDescent="0.15">
      <c r="D36" s="15" t="s">
        <v>42</v>
      </c>
    </row>
    <row r="37" spans="1:5" ht="15.75" customHeight="1" x14ac:dyDescent="0.15">
      <c r="D37" s="15" t="s">
        <v>43</v>
      </c>
    </row>
    <row r="38" spans="1:5" ht="15.75" customHeight="1" x14ac:dyDescent="0.15">
      <c r="E38" s="15" t="s">
        <v>44</v>
      </c>
    </row>
    <row r="39" spans="1:5" ht="15.75" customHeight="1" x14ac:dyDescent="0.15">
      <c r="D39" s="15" t="s">
        <v>45</v>
      </c>
    </row>
    <row r="40" spans="1:5" ht="15.75" customHeight="1" x14ac:dyDescent="0.15">
      <c r="E40" s="15" t="s">
        <v>46</v>
      </c>
    </row>
    <row r="42" spans="1:5" ht="15.75" customHeight="1" x14ac:dyDescent="0.15">
      <c r="A42" s="15"/>
      <c r="B42" s="15"/>
    </row>
    <row r="43" spans="1:5" ht="15.75" customHeight="1" x14ac:dyDescent="0.15">
      <c r="C43" s="15"/>
    </row>
    <row r="44" spans="1:5" ht="15.75" customHeight="1" x14ac:dyDescent="0.15">
      <c r="C44" s="15"/>
    </row>
    <row r="45" spans="1:5" ht="15.75" customHeight="1" x14ac:dyDescent="0.15">
      <c r="C45" s="15"/>
    </row>
    <row r="47" spans="1:5" ht="15.75" customHeight="1" x14ac:dyDescent="0.15">
      <c r="C47" s="15"/>
    </row>
    <row r="50" spans="1:5" ht="15.75" customHeight="1" x14ac:dyDescent="0.15">
      <c r="A50" s="15"/>
      <c r="B50" s="15"/>
    </row>
    <row r="51" spans="1:5" ht="15.75" customHeight="1" x14ac:dyDescent="0.15">
      <c r="C51" s="15"/>
    </row>
    <row r="52" spans="1:5" ht="15.75" customHeight="1" x14ac:dyDescent="0.15">
      <c r="C52" s="15"/>
    </row>
    <row r="53" spans="1:5" ht="15.75" customHeight="1" x14ac:dyDescent="0.15">
      <c r="D53" s="15"/>
    </row>
    <row r="54" spans="1:5" ht="15.75" customHeight="1" x14ac:dyDescent="0.15">
      <c r="E54" s="15"/>
    </row>
    <row r="55" spans="1:5" ht="15.75" customHeight="1" x14ac:dyDescent="0.15">
      <c r="C55" s="15"/>
    </row>
    <row r="56" spans="1:5" ht="15.75" customHeight="1" x14ac:dyDescent="0.15">
      <c r="C56" s="15"/>
    </row>
  </sheetData>
  <mergeCells count="2">
    <mergeCell ref="A1:G1"/>
    <mergeCell ref="N1:T1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Potential outcomes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 Odette</cp:lastModifiedBy>
  <dcterms:modified xsi:type="dcterms:W3CDTF">2025-10-18T20:46:17Z</dcterms:modified>
</cp:coreProperties>
</file>