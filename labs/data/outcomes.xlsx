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ouisodette/Documents/R_projects/osb_2025_site/labs/data/"/>
    </mc:Choice>
  </mc:AlternateContent>
  <xr:revisionPtr revIDLastSave="0" documentId="13_ncr:1_{EA20DEF7-C993-BF43-BB5B-B9BBBA79EA24}" xr6:coauthVersionLast="36" xr6:coauthVersionMax="36" xr10:uidLastSave="{00000000-0000-0000-0000-000000000000}"/>
  <bookViews>
    <workbookView xWindow="-1680" yWindow="-20940" windowWidth="38080" windowHeight="20800" xr2:uid="{00000000-000D-0000-FFFF-FFFF00000000}"/>
  </bookViews>
  <sheets>
    <sheet name="Potential outcomes" sheetId="1" r:id="rId1"/>
  </sheets>
  <calcPr calcId="181029"/>
</workbook>
</file>

<file path=xl/calcChain.xml><?xml version="1.0" encoding="utf-8"?>
<calcChain xmlns="http://schemas.openxmlformats.org/spreadsheetml/2006/main">
  <c r="D15" i="1" l="1"/>
  <c r="E11" i="1"/>
  <c r="D11" i="1"/>
  <c r="D13" i="1" s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D14" i="1" s="1"/>
  <c r="E2" i="1"/>
  <c r="D2" i="1"/>
  <c r="A13" i="1" s="1"/>
  <c r="D12" i="1" l="1"/>
  <c r="D16" i="1"/>
  <c r="D20" i="1" s="1"/>
</calcChain>
</file>

<file path=xl/sharedStrings.xml><?xml version="1.0" encoding="utf-8"?>
<sst xmlns="http://schemas.openxmlformats.org/spreadsheetml/2006/main" count="85" uniqueCount="76">
  <si>
    <t>Person</t>
  </si>
  <si>
    <t>Y(1)</t>
  </si>
  <si>
    <t>Y(0)</t>
  </si>
  <si>
    <t>Delta Y(1)-Y(0)</t>
  </si>
  <si>
    <t>Y (Data)</t>
  </si>
  <si>
    <t>D (Treatment)</t>
  </si>
  <si>
    <t>Instructions</t>
  </si>
  <si>
    <t>Selina</t>
  </si>
  <si>
    <t>1. Calculate the individual treatment effects</t>
  </si>
  <si>
    <t>Tim</t>
  </si>
  <si>
    <t>2. Calculate the ATE</t>
  </si>
  <si>
    <t>Chad</t>
  </si>
  <si>
    <t>3. Assign males to treatment, females to control</t>
  </si>
  <si>
    <t>Derrick</t>
  </si>
  <si>
    <t>4. Use the switching equation and replace Y with Y1 or Y0 (columne E)</t>
  </si>
  <si>
    <t>Edith</t>
  </si>
  <si>
    <t>5. Calculate:</t>
  </si>
  <si>
    <t>Just type in =FX*BX + (1-FX)*CX</t>
  </si>
  <si>
    <t>Frank</t>
  </si>
  <si>
    <t>ATE</t>
  </si>
  <si>
    <t>10 people</t>
  </si>
  <si>
    <t>George</t>
  </si>
  <si>
    <t>ATT</t>
  </si>
  <si>
    <t>5 people</t>
  </si>
  <si>
    <t>Hannah</t>
  </si>
  <si>
    <t>ATU</t>
  </si>
  <si>
    <t>ATE = w1xATT + w0xATU</t>
  </si>
  <si>
    <t>Ida</t>
  </si>
  <si>
    <t>6. Pick people with positive (zero or negative) treatment effects for treated (control)</t>
  </si>
  <si>
    <t>w1: percent of people in D=1; w1=0.6</t>
  </si>
  <si>
    <t>Janice</t>
  </si>
  <si>
    <t>same 10 people</t>
  </si>
  <si>
    <t>w0: percent of people in D=0; 1-0.6 or 0.4</t>
  </si>
  <si>
    <t>different 5 people</t>
  </si>
  <si>
    <t>7. Why did the ATE not change, but the ATT and ATU change?</t>
  </si>
  <si>
    <t>Percent D=1</t>
  </si>
  <si>
    <t>Percent D=0</t>
  </si>
  <si>
    <t>E[Y(1)|D=1]</t>
  </si>
  <si>
    <t>A causal effect has three ingredients</t>
  </si>
  <si>
    <t>E[Y(0)|D=1]</t>
  </si>
  <si>
    <t>1. individual treatment effects expressed with potential outcomes</t>
  </si>
  <si>
    <t>2. those individual treatment effects are based on WEIGHTED AVERAGES</t>
  </si>
  <si>
    <t>ATE = Pr(D=1) x ATT + (1-Pr(D=1)) x ATU</t>
  </si>
  <si>
    <t>3. you're weighting over a POPULATION OF UNITS</t>
  </si>
  <si>
    <t>Column F has two technically different idesas</t>
  </si>
  <si>
    <t>1. Rule. "Sex sounding names assigns treatment status". Selection or treatment assignment mechanism.</t>
  </si>
  <si>
    <t xml:space="preserve">that you can estimate at best is the ATT. </t>
  </si>
  <si>
    <t xml:space="preserve">2. Actual treatment status. D=1 or D=0. </t>
  </si>
  <si>
    <r>
      <rPr>
        <sz val="10"/>
        <color theme="1"/>
        <rFont val="Arial"/>
      </rPr>
      <t xml:space="preserve">Vaccine is the treatment. And your </t>
    </r>
    <r>
      <rPr>
        <b/>
        <sz val="10"/>
        <color theme="1"/>
        <rFont val="Arial"/>
      </rPr>
      <t>research question</t>
    </r>
    <r>
      <rPr>
        <sz val="10"/>
        <color theme="1"/>
        <rFont val="Arial"/>
      </rPr>
      <t xml:space="preserve"> is "what's the effect of the vaccine on mortality?"</t>
    </r>
  </si>
  <si>
    <t>The causal question can be three things:</t>
  </si>
  <si>
    <t>ATE = w1ATT + w0ATU</t>
  </si>
  <si>
    <r>
      <rPr>
        <sz val="10"/>
        <color theme="1"/>
        <rFont val="Arial"/>
      </rPr>
      <t xml:space="preserve">1. what the average effect of vaccines on mortality </t>
    </r>
    <r>
      <rPr>
        <b/>
        <sz val="10"/>
        <color theme="1"/>
        <rFont val="Arial"/>
      </rPr>
      <t>for everyone</t>
    </r>
    <r>
      <rPr>
        <sz val="10"/>
        <color theme="1"/>
        <rFont val="Arial"/>
      </rPr>
      <t>? That's the ATE</t>
    </r>
  </si>
  <si>
    <t>If ATU = 0, then</t>
  </si>
  <si>
    <t>2. what's the average effect of vaccines on mortality for vaccinated people? That's the ATT</t>
  </si>
  <si>
    <t>ATE = w1ATT + 0</t>
  </si>
  <si>
    <t>3. What's the average effect of vaccines on mortality for the unvaccinated? The's the ATU</t>
  </si>
  <si>
    <t>or</t>
  </si>
  <si>
    <r>
      <rPr>
        <sz val="10"/>
        <color theme="1"/>
        <rFont val="Arial"/>
      </rPr>
      <t xml:space="preserve">Which of those three average causal parameters </t>
    </r>
    <r>
      <rPr>
        <i/>
        <sz val="10"/>
        <color theme="1"/>
        <rFont val="Arial"/>
      </rPr>
      <t>should</t>
    </r>
    <r>
      <rPr>
        <sz val="10"/>
        <color theme="1"/>
        <rFont val="Arial"/>
      </rPr>
      <t xml:space="preserve"> you be trying to estimate? </t>
    </r>
  </si>
  <si>
    <t xml:space="preserve">It depends. </t>
  </si>
  <si>
    <r>
      <rPr>
        <sz val="10"/>
        <color theme="1"/>
        <rFont val="Arial"/>
      </rPr>
      <t xml:space="preserve">- It depends on which one you </t>
    </r>
    <r>
      <rPr>
        <i/>
        <sz val="10"/>
        <color theme="1"/>
        <rFont val="Arial"/>
      </rPr>
      <t>personally</t>
    </r>
    <r>
      <rPr>
        <sz val="10"/>
        <color theme="1"/>
        <rFont val="Arial"/>
      </rPr>
      <t xml:space="preserve"> think is interesting</t>
    </r>
  </si>
  <si>
    <r>
      <rPr>
        <sz val="10"/>
        <color theme="1"/>
        <rFont val="Arial"/>
      </rPr>
      <t xml:space="preserve">- It depends on the </t>
    </r>
    <r>
      <rPr>
        <i/>
        <sz val="10"/>
        <color theme="1"/>
        <rFont val="Arial"/>
      </rPr>
      <t>policy goal</t>
    </r>
    <r>
      <rPr>
        <sz val="10"/>
        <color theme="1"/>
        <rFont val="Arial"/>
      </rPr>
      <t xml:space="preserve">. Is the goal to vaccinate </t>
    </r>
    <r>
      <rPr>
        <i/>
        <sz val="10"/>
        <color theme="1"/>
        <rFont val="Arial"/>
      </rPr>
      <t>everyone</t>
    </r>
    <r>
      <rPr>
        <sz val="10"/>
        <color theme="1"/>
        <rFont val="Arial"/>
      </rPr>
      <t xml:space="preserve">? </t>
    </r>
  </si>
  <si>
    <t>That is the ATE</t>
  </si>
  <si>
    <t>- Is the goal though to understand if the vaccine helped the vaccinated?</t>
  </si>
  <si>
    <t>That is the ATT</t>
  </si>
  <si>
    <r>
      <rPr>
        <sz val="10"/>
        <color theme="1"/>
        <rFont val="Arial"/>
      </rPr>
      <t xml:space="preserve">The treatment is a poverty program that only the </t>
    </r>
    <r>
      <rPr>
        <i/>
        <sz val="10"/>
        <color theme="1"/>
        <rFont val="Arial"/>
      </rPr>
      <t>very poor</t>
    </r>
    <r>
      <rPr>
        <sz val="10"/>
        <color theme="1"/>
        <rFont val="Arial"/>
      </rPr>
      <t xml:space="preserve"> are going to get. Basic rudimentary literacy skills</t>
    </r>
  </si>
  <si>
    <t>Trains the individual in rudimentary reading and writing</t>
  </si>
  <si>
    <t>The program takes full-time, 8 hours a day, for one year.</t>
  </si>
  <si>
    <t>Cnanot work.</t>
  </si>
  <si>
    <t>Do you want the ATE?  Well, only if your plan is to put the entire population into the basic literacy program.</t>
  </si>
  <si>
    <t>Break down all of causal inference into four things, it would be this:</t>
  </si>
  <si>
    <t>1. Defining treatment effects and average treatment effects (ATT)</t>
  </si>
  <si>
    <t>2. Assumptions for identification</t>
  </si>
  <si>
    <t>What must I believe about the relationship between the treatment assignment and the potential outcomes in order to use a method for estimation</t>
  </si>
  <si>
    <t>Econometrics: strict exogeneity</t>
  </si>
  <si>
    <t>3. Estimation. Difference-in-differences is an estimation method for identifying the ATT (part 1) which is only valid if certain assumptions hold (part 2)</t>
  </si>
  <si>
    <t>4. Standard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</si>
</sst>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Calibri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5" borderId="0" xfId="0" applyFont="1" applyFill="1"/>
    <xf numFmtId="0" fontId="3" fillId="0" borderId="0" xfId="0" applyFont="1" applyAlignment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/>
    <xf numFmtId="0" fontId="3" fillId="2" borderId="1" xfId="0" applyFont="1" applyFill="1" applyBorder="1" applyAlignment="1"/>
    <xf numFmtId="0" fontId="3" fillId="2" borderId="1" xfId="0" applyFont="1" applyFill="1" applyBorder="1"/>
    <xf numFmtId="0" fontId="3" fillId="0" borderId="0" xfId="0" applyFont="1"/>
    <xf numFmtId="0" fontId="2" fillId="0" borderId="0" xfId="0" applyFo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5"/>
  <sheetViews>
    <sheetView tabSelected="1" zoomScale="140" zoomScaleNormal="140" workbookViewId="0">
      <selection activeCell="C19" sqref="C19"/>
    </sheetView>
  </sheetViews>
  <sheetFormatPr baseColWidth="10" defaultColWidth="12.6640625" defaultRowHeight="15.75" customHeight="1" x14ac:dyDescent="0.15"/>
  <cols>
    <col min="4" max="4" width="14.5" customWidth="1"/>
    <col min="7" max="7" width="2.33203125" customWidth="1"/>
    <col min="11" max="11" width="36.5" customWidth="1"/>
    <col min="12" max="12" width="27.33203125" customWidth="1"/>
  </cols>
  <sheetData>
    <row r="1" spans="1:13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7" t="s">
        <v>6</v>
      </c>
    </row>
    <row r="2" spans="1:13" ht="15.75" customHeight="1" x14ac:dyDescent="0.15">
      <c r="A2" s="8" t="s">
        <v>7</v>
      </c>
      <c r="B2" s="9">
        <v>15</v>
      </c>
      <c r="C2" s="9">
        <v>12</v>
      </c>
      <c r="D2" s="10">
        <f t="shared" ref="D2:D11" si="0">B2-C2</f>
        <v>3</v>
      </c>
      <c r="E2" s="11">
        <f t="shared" ref="E2:E11" si="1">F2*B2+(1-F2)*C2</f>
        <v>15</v>
      </c>
      <c r="F2" s="12">
        <v>1</v>
      </c>
      <c r="G2" s="6"/>
      <c r="H2" s="13" t="s">
        <v>8</v>
      </c>
      <c r="I2" s="14"/>
      <c r="J2" s="14"/>
      <c r="L2" s="15"/>
    </row>
    <row r="3" spans="1:13" ht="15.75" customHeight="1" x14ac:dyDescent="0.15">
      <c r="A3" s="8" t="s">
        <v>9</v>
      </c>
      <c r="B3" s="9">
        <v>5</v>
      </c>
      <c r="C3" s="9">
        <v>10</v>
      </c>
      <c r="D3" s="10">
        <f t="shared" si="0"/>
        <v>-5</v>
      </c>
      <c r="E3" s="11">
        <f t="shared" si="1"/>
        <v>10</v>
      </c>
      <c r="F3" s="12">
        <v>0</v>
      </c>
      <c r="G3" s="6"/>
      <c r="H3" s="13" t="s">
        <v>10</v>
      </c>
      <c r="I3" s="14"/>
      <c r="L3" s="15"/>
    </row>
    <row r="4" spans="1:13" ht="15.75" customHeight="1" x14ac:dyDescent="0.15">
      <c r="A4" s="8" t="s">
        <v>11</v>
      </c>
      <c r="B4" s="9">
        <v>17</v>
      </c>
      <c r="C4" s="9">
        <v>11</v>
      </c>
      <c r="D4" s="10">
        <f t="shared" si="0"/>
        <v>6</v>
      </c>
      <c r="E4" s="11">
        <f t="shared" si="1"/>
        <v>11</v>
      </c>
      <c r="F4" s="12">
        <v>0</v>
      </c>
      <c r="G4" s="6"/>
      <c r="H4" s="13" t="s">
        <v>12</v>
      </c>
      <c r="I4" s="14"/>
      <c r="J4" s="14"/>
      <c r="K4" s="14"/>
    </row>
    <row r="5" spans="1:13" ht="15.75" customHeight="1" x14ac:dyDescent="0.15">
      <c r="A5" s="8" t="s">
        <v>13</v>
      </c>
      <c r="B5" s="9">
        <v>10</v>
      </c>
      <c r="C5" s="9">
        <v>9</v>
      </c>
      <c r="D5" s="10">
        <f t="shared" si="0"/>
        <v>1</v>
      </c>
      <c r="E5" s="11">
        <f t="shared" si="1"/>
        <v>10</v>
      </c>
      <c r="F5" s="12">
        <v>1</v>
      </c>
      <c r="G5" s="6"/>
      <c r="H5" s="15" t="s">
        <v>14</v>
      </c>
      <c r="L5" s="15"/>
    </row>
    <row r="6" spans="1:13" ht="15.75" customHeight="1" x14ac:dyDescent="0.15">
      <c r="A6" s="8" t="s">
        <v>15</v>
      </c>
      <c r="B6" s="9">
        <v>9</v>
      </c>
      <c r="C6" s="9">
        <v>9</v>
      </c>
      <c r="D6" s="10">
        <f t="shared" si="0"/>
        <v>0</v>
      </c>
      <c r="E6" s="11">
        <f t="shared" si="1"/>
        <v>9</v>
      </c>
      <c r="F6" s="12">
        <v>1</v>
      </c>
      <c r="G6" s="6"/>
      <c r="H6" s="15" t="s">
        <v>16</v>
      </c>
      <c r="M6" s="15" t="s">
        <v>17</v>
      </c>
    </row>
    <row r="7" spans="1:13" ht="15.75" customHeight="1" x14ac:dyDescent="0.15">
      <c r="A7" s="8" t="s">
        <v>18</v>
      </c>
      <c r="B7" s="9">
        <v>1</v>
      </c>
      <c r="C7" s="9">
        <v>5</v>
      </c>
      <c r="D7" s="10">
        <f t="shared" si="0"/>
        <v>-4</v>
      </c>
      <c r="E7" s="11">
        <f t="shared" si="1"/>
        <v>5</v>
      </c>
      <c r="F7" s="12">
        <v>0</v>
      </c>
      <c r="G7" s="6"/>
      <c r="I7" s="16" t="s">
        <v>19</v>
      </c>
      <c r="J7" s="17"/>
      <c r="K7" s="15" t="s">
        <v>20</v>
      </c>
    </row>
    <row r="8" spans="1:13" ht="15.75" customHeight="1" x14ac:dyDescent="0.15">
      <c r="A8" s="8" t="s">
        <v>21</v>
      </c>
      <c r="B8" s="9">
        <v>13</v>
      </c>
      <c r="C8" s="9">
        <v>9</v>
      </c>
      <c r="D8" s="10">
        <f t="shared" si="0"/>
        <v>4</v>
      </c>
      <c r="E8" s="11">
        <f t="shared" si="1"/>
        <v>9</v>
      </c>
      <c r="F8" s="12">
        <v>0</v>
      </c>
      <c r="G8" s="6"/>
      <c r="I8" s="7" t="s">
        <v>22</v>
      </c>
      <c r="J8" s="18"/>
      <c r="K8" s="15" t="s">
        <v>23</v>
      </c>
    </row>
    <row r="9" spans="1:13" ht="15.75" customHeight="1" x14ac:dyDescent="0.15">
      <c r="A9" s="8" t="s">
        <v>24</v>
      </c>
      <c r="B9" s="9">
        <v>10</v>
      </c>
      <c r="C9" s="9">
        <v>8</v>
      </c>
      <c r="D9" s="10">
        <f t="shared" si="0"/>
        <v>2</v>
      </c>
      <c r="E9" s="11">
        <f t="shared" si="1"/>
        <v>10</v>
      </c>
      <c r="F9" s="12">
        <v>1</v>
      </c>
      <c r="G9" s="6"/>
      <c r="I9" s="7" t="s">
        <v>25</v>
      </c>
      <c r="K9" s="15" t="s">
        <v>23</v>
      </c>
      <c r="L9" s="15" t="s">
        <v>26</v>
      </c>
    </row>
    <row r="10" spans="1:13" ht="15.75" customHeight="1" x14ac:dyDescent="0.15">
      <c r="A10" s="8" t="s">
        <v>27</v>
      </c>
      <c r="B10" s="9">
        <v>9</v>
      </c>
      <c r="C10" s="9">
        <v>12</v>
      </c>
      <c r="D10" s="10">
        <f t="shared" si="0"/>
        <v>-3</v>
      </c>
      <c r="E10" s="11">
        <f t="shared" si="1"/>
        <v>9</v>
      </c>
      <c r="F10" s="12">
        <v>1</v>
      </c>
      <c r="G10" s="6"/>
      <c r="H10" s="15" t="s">
        <v>28</v>
      </c>
      <c r="L10" s="15" t="s">
        <v>29</v>
      </c>
    </row>
    <row r="11" spans="1:13" ht="15.75" customHeight="1" x14ac:dyDescent="0.15">
      <c r="A11" s="8" t="s">
        <v>30</v>
      </c>
      <c r="B11" s="9">
        <v>8</v>
      </c>
      <c r="C11" s="9">
        <v>15</v>
      </c>
      <c r="D11" s="10">
        <f t="shared" si="0"/>
        <v>-7</v>
      </c>
      <c r="E11" s="11">
        <f t="shared" si="1"/>
        <v>8</v>
      </c>
      <c r="F11" s="12">
        <v>1</v>
      </c>
      <c r="G11" s="6"/>
      <c r="I11" s="16" t="s">
        <v>19</v>
      </c>
      <c r="J11" s="17"/>
      <c r="K11" s="15" t="s">
        <v>31</v>
      </c>
      <c r="L11" s="15" t="s">
        <v>32</v>
      </c>
    </row>
    <row r="12" spans="1:13" ht="15.75" customHeight="1" x14ac:dyDescent="0.15">
      <c r="C12" s="16" t="s">
        <v>19</v>
      </c>
      <c r="D12" s="10">
        <f>(SUM(D2:D11)/10)</f>
        <v>-0.3</v>
      </c>
      <c r="E12" s="11"/>
      <c r="G12" s="6"/>
      <c r="I12" s="7" t="s">
        <v>22</v>
      </c>
      <c r="J12" s="18"/>
      <c r="K12" s="15" t="s">
        <v>33</v>
      </c>
    </row>
    <row r="13" spans="1:13" ht="15.75" customHeight="1" x14ac:dyDescent="0.15">
      <c r="A13" s="19">
        <f>(D2+D3+D4+D5)/(F2+F3+F4+F5)</f>
        <v>2.5</v>
      </c>
      <c r="C13" s="20" t="s">
        <v>22</v>
      </c>
      <c r="D13" s="10">
        <f>(SUM(D11,D10,D9,D6,D5,D2)/6)</f>
        <v>-0.66666666666666663</v>
      </c>
      <c r="E13" s="11"/>
      <c r="G13" s="6"/>
      <c r="I13" s="7" t="s">
        <v>25</v>
      </c>
      <c r="K13" s="15" t="s">
        <v>33</v>
      </c>
    </row>
    <row r="14" spans="1:13" ht="15.75" customHeight="1" x14ac:dyDescent="0.15">
      <c r="C14" s="21" t="s">
        <v>25</v>
      </c>
      <c r="D14" s="10">
        <f>AVERAGE(D8,D7,D4,D3)</f>
        <v>0.25</v>
      </c>
      <c r="E14" s="11"/>
      <c r="G14" s="6"/>
      <c r="H14" s="15" t="s">
        <v>34</v>
      </c>
    </row>
    <row r="15" spans="1:13" ht="15.75" customHeight="1" x14ac:dyDescent="0.15">
      <c r="C15" s="22" t="s">
        <v>35</v>
      </c>
      <c r="D15" s="10">
        <f>AVERAGE(F2:F11)</f>
        <v>0.6</v>
      </c>
      <c r="E15" s="11"/>
      <c r="G15" s="6"/>
    </row>
    <row r="16" spans="1:13" ht="15.75" customHeight="1" x14ac:dyDescent="0.15">
      <c r="C16" s="23" t="s">
        <v>36</v>
      </c>
      <c r="D16" s="10">
        <f>1-D15</f>
        <v>0.4</v>
      </c>
      <c r="E16" s="11"/>
    </row>
    <row r="17" spans="1:9" ht="15.75" customHeight="1" x14ac:dyDescent="0.15">
      <c r="C17" s="15" t="s">
        <v>37</v>
      </c>
      <c r="D17" s="10"/>
      <c r="E17" s="11"/>
      <c r="H17" s="15" t="s">
        <v>38</v>
      </c>
    </row>
    <row r="18" spans="1:9" ht="15.75" customHeight="1" x14ac:dyDescent="0.15">
      <c r="C18" s="15" t="s">
        <v>39</v>
      </c>
      <c r="D18" s="10"/>
      <c r="E18" s="11"/>
      <c r="I18" s="15" t="s">
        <v>40</v>
      </c>
    </row>
    <row r="19" spans="1:9" ht="15.75" customHeight="1" x14ac:dyDescent="0.15">
      <c r="C19" s="15" t="s">
        <v>22</v>
      </c>
      <c r="D19" s="10"/>
      <c r="E19" s="11"/>
      <c r="I19" s="15" t="s">
        <v>41</v>
      </c>
    </row>
    <row r="20" spans="1:9" ht="15.75" customHeight="1" x14ac:dyDescent="0.15">
      <c r="A20" s="24" t="s">
        <v>42</v>
      </c>
      <c r="B20" s="25"/>
      <c r="C20" s="25"/>
      <c r="D20" s="19">
        <f>D15*D13+D16*D14</f>
        <v>-0.29999999999999993</v>
      </c>
      <c r="I20" s="15" t="s">
        <v>43</v>
      </c>
    </row>
    <row r="22" spans="1:9" ht="15.75" customHeight="1" x14ac:dyDescent="0.15">
      <c r="A22" s="15" t="s">
        <v>44</v>
      </c>
      <c r="H22" s="15"/>
    </row>
    <row r="23" spans="1:9" ht="15.75" customHeight="1" x14ac:dyDescent="0.15">
      <c r="B23" s="15" t="s">
        <v>45</v>
      </c>
      <c r="I23" s="15" t="s">
        <v>46</v>
      </c>
    </row>
    <row r="24" spans="1:9" ht="15.75" customHeight="1" x14ac:dyDescent="0.15">
      <c r="B24" s="15" t="s">
        <v>47</v>
      </c>
    </row>
    <row r="27" spans="1:9" ht="15.75" customHeight="1" x14ac:dyDescent="0.15">
      <c r="A27" s="15" t="s">
        <v>48</v>
      </c>
    </row>
    <row r="28" spans="1:9" ht="15.75" customHeight="1" x14ac:dyDescent="0.15">
      <c r="A28" s="15" t="s">
        <v>49</v>
      </c>
      <c r="I28" s="15" t="s">
        <v>50</v>
      </c>
    </row>
    <row r="29" spans="1:9" ht="15.75" customHeight="1" x14ac:dyDescent="0.15">
      <c r="B29" s="15" t="s">
        <v>51</v>
      </c>
      <c r="I29" s="15" t="s">
        <v>52</v>
      </c>
    </row>
    <row r="30" spans="1:9" ht="15.75" customHeight="1" x14ac:dyDescent="0.15">
      <c r="B30" s="15" t="s">
        <v>53</v>
      </c>
      <c r="I30" s="15" t="s">
        <v>54</v>
      </c>
    </row>
    <row r="31" spans="1:9" ht="15.75" customHeight="1" x14ac:dyDescent="0.15">
      <c r="B31" s="15" t="s">
        <v>55</v>
      </c>
      <c r="I31" s="15" t="s">
        <v>56</v>
      </c>
    </row>
    <row r="33" spans="1:4" ht="15.75" customHeight="1" x14ac:dyDescent="0.15">
      <c r="A33" s="15" t="s">
        <v>57</v>
      </c>
    </row>
    <row r="34" spans="1:4" ht="15.75" customHeight="1" x14ac:dyDescent="0.15">
      <c r="B34" s="15" t="s">
        <v>58</v>
      </c>
    </row>
    <row r="35" spans="1:4" ht="15.75" customHeight="1" x14ac:dyDescent="0.15">
      <c r="C35" s="15" t="s">
        <v>59</v>
      </c>
    </row>
    <row r="36" spans="1:4" ht="15.75" customHeight="1" x14ac:dyDescent="0.15">
      <c r="C36" s="15" t="s">
        <v>60</v>
      </c>
    </row>
    <row r="37" spans="1:4" ht="15.75" customHeight="1" x14ac:dyDescent="0.15">
      <c r="D37" s="15" t="s">
        <v>61</v>
      </c>
    </row>
    <row r="38" spans="1:4" ht="15.75" customHeight="1" x14ac:dyDescent="0.15">
      <c r="C38" s="15" t="s">
        <v>62</v>
      </c>
    </row>
    <row r="39" spans="1:4" ht="15.75" customHeight="1" x14ac:dyDescent="0.15">
      <c r="D39" s="15" t="s">
        <v>63</v>
      </c>
    </row>
    <row r="41" spans="1:4" ht="15.75" customHeight="1" x14ac:dyDescent="0.15">
      <c r="A41" s="15" t="s">
        <v>64</v>
      </c>
    </row>
    <row r="42" spans="1:4" ht="15.75" customHeight="1" x14ac:dyDescent="0.15">
      <c r="B42" s="15" t="s">
        <v>65</v>
      </c>
    </row>
    <row r="43" spans="1:4" ht="15.75" customHeight="1" x14ac:dyDescent="0.15">
      <c r="B43" s="15" t="s">
        <v>66</v>
      </c>
    </row>
    <row r="44" spans="1:4" ht="15.75" customHeight="1" x14ac:dyDescent="0.15">
      <c r="B44" s="15" t="s">
        <v>67</v>
      </c>
    </row>
    <row r="46" spans="1:4" ht="15.75" customHeight="1" x14ac:dyDescent="0.15">
      <c r="B46" s="15" t="s">
        <v>68</v>
      </c>
    </row>
    <row r="49" spans="1:4" ht="15.75" customHeight="1" x14ac:dyDescent="0.15">
      <c r="A49" s="15" t="s">
        <v>69</v>
      </c>
    </row>
    <row r="50" spans="1:4" ht="15.75" customHeight="1" x14ac:dyDescent="0.15">
      <c r="B50" s="15" t="s">
        <v>70</v>
      </c>
    </row>
    <row r="51" spans="1:4" ht="15.75" customHeight="1" x14ac:dyDescent="0.15">
      <c r="B51" s="15" t="s">
        <v>71</v>
      </c>
    </row>
    <row r="52" spans="1:4" ht="15.75" customHeight="1" x14ac:dyDescent="0.15">
      <c r="C52" s="15" t="s">
        <v>72</v>
      </c>
    </row>
    <row r="53" spans="1:4" ht="15.75" customHeight="1" x14ac:dyDescent="0.15">
      <c r="D53" s="15" t="s">
        <v>73</v>
      </c>
    </row>
    <row r="54" spans="1:4" ht="15.75" customHeight="1" x14ac:dyDescent="0.15">
      <c r="B54" s="15" t="s">
        <v>74</v>
      </c>
    </row>
    <row r="55" spans="1:4" ht="15.75" customHeight="1" x14ac:dyDescent="0.15">
      <c r="B55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 Odette</cp:lastModifiedBy>
  <dcterms:modified xsi:type="dcterms:W3CDTF">2025-07-15T20:37:24Z</dcterms:modified>
</cp:coreProperties>
</file>